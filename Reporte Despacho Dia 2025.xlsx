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oensacadora\Documents\FORMATOS ENSACADORA\FORMATOS ENSACADORA 2015\"/>
    </mc:Choice>
  </mc:AlternateContent>
  <bookViews>
    <workbookView xWindow="0" yWindow="0" windowWidth="10200" windowHeight="4410" tabRatio="603"/>
  </bookViews>
  <sheets>
    <sheet name="Despacho" sheetId="2" r:id="rId1"/>
    <sheet name="DESPACHO POR MATERIAL" sheetId="4" state="hidden" r:id="rId2"/>
  </sheets>
  <definedNames>
    <definedName name="_xlnm._FilterDatabase" localSheetId="0" hidden="1">Despacho!#REF!</definedName>
    <definedName name="_xlnm.Print_Area" localSheetId="0">Despacho!#REF!</definedName>
  </definedNames>
  <calcPr calcId="162913"/>
</workbook>
</file>

<file path=xl/calcChain.xml><?xml version="1.0" encoding="utf-8"?>
<calcChain xmlns="http://schemas.openxmlformats.org/spreadsheetml/2006/main">
  <c r="D29" i="2" l="1"/>
  <c r="D28" i="2" l="1"/>
  <c r="D27" i="2"/>
  <c r="D33" i="2" l="1"/>
  <c r="D24" i="2" l="1"/>
  <c r="F11" i="4" l="1"/>
  <c r="F9" i="4"/>
  <c r="F8" i="4"/>
  <c r="F7" i="4"/>
  <c r="F6" i="4"/>
  <c r="F5" i="4"/>
  <c r="F4" i="4"/>
  <c r="F3" i="4"/>
  <c r="D39" i="2"/>
  <c r="D4" i="2"/>
  <c r="B1" i="2"/>
  <c r="D40" i="2" l="1"/>
</calcChain>
</file>

<file path=xl/sharedStrings.xml><?xml version="1.0" encoding="utf-8"?>
<sst xmlns="http://schemas.openxmlformats.org/spreadsheetml/2006/main" count="74" uniqueCount="65">
  <si>
    <t>DESPACHO T.M. DEL DIA</t>
  </si>
  <si>
    <t>ACUMULADO MES</t>
  </si>
  <si>
    <t>DIF. MES ANTERIOR</t>
  </si>
  <si>
    <t xml:space="preserve">PESO PROMEDIO </t>
  </si>
  <si>
    <t>VENTAS A CONSTRUIR</t>
  </si>
  <si>
    <t>ACUMULADO A CONSTRUIR</t>
  </si>
  <si>
    <t>VENTAS</t>
  </si>
  <si>
    <t>VENTAS T.M. (Exportacion)</t>
  </si>
  <si>
    <t>ACUMULADO VENTAS Exportacion</t>
  </si>
  <si>
    <t>ACUMULADO VENTAS NACIONAL</t>
  </si>
  <si>
    <t>DESPACHO GRANEL Y BIG BAG TN</t>
  </si>
  <si>
    <t>DESPACHO EN BOLSAS 42.5</t>
  </si>
  <si>
    <t>ACUMULADO VENTAS NACIONAL + EXP.</t>
  </si>
  <si>
    <t xml:space="preserve">ACUMULADO VENTAS YURA </t>
  </si>
  <si>
    <t>VENTAS T.M.  (Nacional)</t>
  </si>
  <si>
    <t>VENTAS T.M. (Total)</t>
  </si>
  <si>
    <t>CEMENTO PORT. PUZ. IP X 42.5 KG YURA</t>
  </si>
  <si>
    <t>CEMENTO ANTISALITRE HS X 42.5</t>
  </si>
  <si>
    <t>CEMENTO PORTLAND TIPO I X 42.5 KG YURA</t>
  </si>
  <si>
    <t>CEMENTO PORT. PUZ. IP TACNA  42.5KG YURA</t>
  </si>
  <si>
    <t>CEM. FRONTERA GU X 42.5 KG</t>
  </si>
  <si>
    <t>CEMENTO PORT. PUZ. IP NAZCA  42.5KG YURA</t>
  </si>
  <si>
    <t>CEM ALTA RESIST INICIAL HE X 42.5KG YURA</t>
  </si>
  <si>
    <t>CEMENTO YURA IP A GRANEL EN BOMBONA</t>
  </si>
  <si>
    <t>CEMENTO FRONTERA IP x 42.5 KG</t>
  </si>
  <si>
    <t>CEM. PORT. I BIGBAG x 1,5TM INC.ENV YURA</t>
  </si>
  <si>
    <t>CEM.PORT.PUZ.IP30 GRANEL BOMBONA YURA</t>
  </si>
  <si>
    <t>CEM ALT RESIST INICI HE BB1.5TM YURA ENV</t>
  </si>
  <si>
    <t>CEMENTO ANTISALITRE TIPO HS x 25KG CHILE</t>
  </si>
  <si>
    <t>CEMENTO PORTLAND 1 GRANEL BOMBONA YURA</t>
  </si>
  <si>
    <t>CEMENTO TIPO LH x 25KG YURA EXP CHILE</t>
  </si>
  <si>
    <t>CEM.MULTIPROPOSITO IP MARCA YURA x 50 KG</t>
  </si>
  <si>
    <t>CEMENTO DE ACABADOS LH X 42.5 KG YURA</t>
  </si>
  <si>
    <t>CEMENTO PORT.PUZ. RUMI IP MAX x 42.5KG</t>
  </si>
  <si>
    <t>MATERIAL</t>
  </si>
  <si>
    <t>BOLSAS</t>
  </si>
  <si>
    <t>TON</t>
  </si>
  <si>
    <t>IP</t>
  </si>
  <si>
    <t>HE</t>
  </si>
  <si>
    <t>IP30</t>
  </si>
  <si>
    <t>TIPO I</t>
  </si>
  <si>
    <t>HS</t>
  </si>
  <si>
    <t>LH</t>
  </si>
  <si>
    <t>CEMENTO PORTLAND TIPO V X 42.5 KG YURA</t>
  </si>
  <si>
    <t>CEM. ANTISALITRE HS 1.5TM INC.ENV YURA</t>
  </si>
  <si>
    <t>CEM ALT RESIST INIC HE GRANEL EN BOMBONA</t>
  </si>
  <si>
    <t>TIPO V</t>
  </si>
  <si>
    <t>TOTAL</t>
  </si>
  <si>
    <t>CEMENTO PORT. PUZ. IP X 25 KG YURA</t>
  </si>
  <si>
    <t>CEMENTO HS+R X 42.5 KG RUMI</t>
  </si>
  <si>
    <t>DESPACHO DEL DÍA POR TIPO DE CEMENTO</t>
  </si>
  <si>
    <t>CEMENTO YURA ANTISALITRE (MS) X 42.5 KG</t>
  </si>
  <si>
    <t>CEMENTO YURA MAX  (HS) X 42.5KG</t>
  </si>
  <si>
    <t>CEMENTO YURA PRO (HE) GRANEL EN BOMBONA</t>
  </si>
  <si>
    <t>CEMENTO YURA PRO (HE) 42.5KG</t>
  </si>
  <si>
    <t>CEMENTO YURA MAX  BBx1.5TM INC.ENV</t>
  </si>
  <si>
    <t>CEMENTO YURA MAX GRANEL BOMBONA</t>
  </si>
  <si>
    <t>CEMENTO BLANCO X 25 KG YURA NACIONAL</t>
  </si>
  <si>
    <t>CEM.YURA ANTISALITRE MS BBx1.5TM INC.ENV</t>
  </si>
  <si>
    <t>CEM. PORT. PUZ. IP BBx1.5TM INC.ENV YURA</t>
  </si>
  <si>
    <t>CEMENTO YURA PRO (HE) BBx1.5TM INC.ENV</t>
  </si>
  <si>
    <t>CEM ALT REST IN HE BB1.5TM YURA ENV CHIL</t>
  </si>
  <si>
    <t>CEM.ESP SC PROY AR TIPO (HE) GRANEL YURA</t>
  </si>
  <si>
    <t>CEM.POR.IP.CORRIENTE 25KG CON ESLINGA</t>
  </si>
  <si>
    <t>FILLER INDUSTRIAL BB1.5TM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</si>
</sst>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#,##0.000"/>
    <numFmt numFmtId="166" formatCode="[$-F800]dddd\,\ mmmm\ dd\,\ yyyy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0" borderId="0"/>
  </cellStyleXfs>
  <cellXfs count="7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vertical="center"/>
    </xf>
    <xf numFmtId="164" fontId="4" fillId="3" borderId="0" xfId="0" applyNumberFormat="1" applyFont="1" applyFill="1" applyAlignment="1">
      <alignment vertical="center"/>
    </xf>
    <xf numFmtId="0" fontId="4" fillId="3" borderId="0" xfId="0" applyFont="1" applyFill="1" applyBorder="1" applyAlignment="1">
      <alignment vertical="center"/>
    </xf>
    <xf numFmtId="164" fontId="5" fillId="3" borderId="0" xfId="0" applyNumberFormat="1" applyFont="1" applyFill="1" applyBorder="1"/>
    <xf numFmtId="0" fontId="6" fillId="3" borderId="1" xfId="1" applyFont="1" applyFill="1" applyBorder="1" applyAlignment="1">
      <alignment horizontal="left" vertical="center"/>
    </xf>
    <xf numFmtId="165" fontId="6" fillId="3" borderId="1" xfId="1" applyNumberFormat="1" applyFont="1" applyFill="1" applyBorder="1" applyAlignment="1">
      <alignment horizontal="left" vertical="center"/>
    </xf>
    <xf numFmtId="0" fontId="4" fillId="3" borderId="2" xfId="1" applyFont="1" applyFill="1" applyBorder="1" applyAlignment="1">
      <alignment horizontal="left" vertical="center"/>
    </xf>
    <xf numFmtId="165" fontId="4" fillId="3" borderId="2" xfId="1" applyNumberFormat="1" applyFont="1" applyFill="1" applyBorder="1" applyAlignment="1">
      <alignment horizontal="left" vertical="center"/>
    </xf>
    <xf numFmtId="2" fontId="6" fillId="3" borderId="3" xfId="1" applyNumberFormat="1" applyFont="1" applyFill="1" applyBorder="1" applyAlignment="1">
      <alignment horizontal="right" vertical="center"/>
    </xf>
    <xf numFmtId="1" fontId="6" fillId="3" borderId="3" xfId="1" applyNumberFormat="1" applyFont="1" applyFill="1" applyBorder="1" applyAlignment="1">
      <alignment horizontal="right" vertical="center"/>
    </xf>
    <xf numFmtId="0" fontId="4" fillId="3" borderId="4" xfId="1" applyFont="1" applyFill="1" applyBorder="1" applyAlignment="1">
      <alignment horizontal="left" vertical="center"/>
    </xf>
    <xf numFmtId="0" fontId="4" fillId="3" borderId="4" xfId="1" applyFont="1" applyFill="1" applyBorder="1"/>
    <xf numFmtId="2" fontId="6" fillId="3" borderId="5" xfId="1" applyNumberFormat="1" applyFont="1" applyFill="1" applyBorder="1" applyAlignment="1">
      <alignment horizontal="right" vertical="center"/>
    </xf>
    <xf numFmtId="0" fontId="6" fillId="3" borderId="0" xfId="2" applyFont="1" applyFill="1" applyBorder="1" applyAlignment="1">
      <alignment horizontal="left" vertical="center"/>
    </xf>
    <xf numFmtId="0" fontId="4" fillId="3" borderId="0" xfId="2" applyFont="1" applyFill="1" applyBorder="1" applyAlignment="1">
      <alignment horizontal="left" vertical="center"/>
    </xf>
    <xf numFmtId="164" fontId="4" fillId="3" borderId="0" xfId="2" applyNumberFormat="1" applyFont="1" applyFill="1" applyBorder="1" applyAlignment="1">
      <alignment horizontal="right" vertical="center"/>
    </xf>
    <xf numFmtId="0" fontId="4" fillId="3" borderId="6" xfId="2" applyFont="1" applyFill="1" applyBorder="1" applyAlignment="1">
      <alignment horizontal="left" vertical="center"/>
    </xf>
    <xf numFmtId="164" fontId="4" fillId="3" borderId="6" xfId="1" applyNumberFormat="1" applyFont="1" applyFill="1" applyBorder="1" applyAlignment="1">
      <alignment vertical="center"/>
    </xf>
    <xf numFmtId="0" fontId="4" fillId="3" borderId="3" xfId="2" applyFont="1" applyFill="1" applyBorder="1" applyAlignment="1">
      <alignment horizontal="left" vertical="center"/>
    </xf>
    <xf numFmtId="164" fontId="4" fillId="3" borderId="3" xfId="1" applyNumberFormat="1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vertical="center"/>
    </xf>
    <xf numFmtId="164" fontId="4" fillId="3" borderId="3" xfId="0" applyNumberFormat="1" applyFont="1" applyFill="1" applyBorder="1"/>
    <xf numFmtId="0" fontId="4" fillId="3" borderId="5" xfId="2" applyFont="1" applyFill="1" applyBorder="1" applyAlignment="1">
      <alignment horizontal="left" vertical="center"/>
    </xf>
    <xf numFmtId="164" fontId="4" fillId="3" borderId="5" xfId="1" applyNumberFormat="1" applyFont="1" applyFill="1" applyBorder="1" applyAlignment="1">
      <alignment vertical="center"/>
    </xf>
    <xf numFmtId="164" fontId="4" fillId="3" borderId="8" xfId="0" applyNumberFormat="1" applyFont="1" applyFill="1" applyBorder="1"/>
    <xf numFmtId="0" fontId="4" fillId="3" borderId="9" xfId="0" applyNumberFormat="1" applyFont="1" applyFill="1" applyBorder="1"/>
    <xf numFmtId="0" fontId="4" fillId="3" borderId="10" xfId="0" applyNumberFormat="1" applyFont="1" applyFill="1" applyBorder="1"/>
    <xf numFmtId="0" fontId="4" fillId="3" borderId="10" xfId="0" applyFont="1" applyFill="1" applyBorder="1" applyAlignment="1">
      <alignment vertical="center"/>
    </xf>
    <xf numFmtId="0" fontId="4" fillId="3" borderId="11" xfId="0" applyNumberFormat="1" applyFont="1" applyFill="1" applyBorder="1"/>
    <xf numFmtId="0" fontId="4" fillId="3" borderId="3" xfId="0" applyFont="1" applyFill="1" applyBorder="1"/>
    <xf numFmtId="0" fontId="4" fillId="3" borderId="3" xfId="0" applyFont="1" applyFill="1" applyBorder="1" applyAlignment="1">
      <alignment horizontal="left"/>
    </xf>
    <xf numFmtId="0" fontId="4" fillId="3" borderId="3" xfId="0" applyFont="1" applyFill="1" applyBorder="1" applyAlignment="1"/>
    <xf numFmtId="0" fontId="4" fillId="3" borderId="6" xfId="0" applyFont="1" applyFill="1" applyBorder="1" applyAlignment="1">
      <alignment horizontal="left"/>
    </xf>
    <xf numFmtId="0" fontId="4" fillId="5" borderId="8" xfId="0" applyNumberFormat="1" applyFont="1" applyFill="1" applyBorder="1"/>
    <xf numFmtId="164" fontId="4" fillId="5" borderId="8" xfId="0" applyNumberFormat="1" applyFont="1" applyFill="1" applyBorder="1"/>
    <xf numFmtId="164" fontId="4" fillId="6" borderId="12" xfId="0" applyNumberFormat="1" applyFont="1" applyFill="1" applyBorder="1"/>
    <xf numFmtId="164" fontId="4" fillId="6" borderId="8" xfId="0" applyNumberFormat="1" applyFont="1" applyFill="1" applyBorder="1" applyAlignment="1">
      <alignment vertical="center"/>
    </xf>
    <xf numFmtId="164" fontId="4" fillId="7" borderId="8" xfId="0" applyNumberFormat="1" applyFont="1" applyFill="1" applyBorder="1"/>
    <xf numFmtId="164" fontId="0" fillId="8" borderId="0" xfId="0" applyNumberFormat="1" applyFill="1"/>
    <xf numFmtId="164" fontId="4" fillId="9" borderId="8" xfId="0" applyNumberFormat="1" applyFont="1" applyFill="1" applyBorder="1"/>
    <xf numFmtId="0" fontId="4" fillId="9" borderId="8" xfId="0" applyNumberFormat="1" applyFont="1" applyFill="1" applyBorder="1"/>
    <xf numFmtId="164" fontId="0" fillId="6" borderId="7" xfId="0" applyNumberFormat="1" applyFill="1" applyBorder="1"/>
    <xf numFmtId="164" fontId="4" fillId="4" borderId="8" xfId="0" applyNumberFormat="1" applyFont="1" applyFill="1" applyBorder="1"/>
    <xf numFmtId="164" fontId="0" fillId="0" borderId="0" xfId="0" applyNumberFormat="1"/>
    <xf numFmtId="164" fontId="4" fillId="10" borderId="8" xfId="0" applyNumberFormat="1" applyFont="1" applyFill="1" applyBorder="1"/>
    <xf numFmtId="0" fontId="0" fillId="0" borderId="13" xfId="0" applyBorder="1"/>
    <xf numFmtId="164" fontId="0" fillId="6" borderId="8" xfId="0" applyNumberFormat="1" applyFill="1" applyBorder="1"/>
    <xf numFmtId="164" fontId="0" fillId="9" borderId="8" xfId="0" applyNumberFormat="1" applyFill="1" applyBorder="1"/>
    <xf numFmtId="164" fontId="0" fillId="7" borderId="8" xfId="0" applyNumberFormat="1" applyFill="1" applyBorder="1"/>
    <xf numFmtId="0" fontId="0" fillId="0" borderId="13" xfId="0" applyFill="1" applyBorder="1"/>
    <xf numFmtId="164" fontId="0" fillId="8" borderId="8" xfId="0" applyNumberFormat="1" applyFill="1" applyBorder="1"/>
    <xf numFmtId="0" fontId="0" fillId="0" borderId="14" xfId="0" applyFill="1" applyBorder="1"/>
    <xf numFmtId="164" fontId="0" fillId="10" borderId="15" xfId="0" applyNumberFormat="1" applyFill="1" applyBorder="1"/>
    <xf numFmtId="0" fontId="0" fillId="0" borderId="16" xfId="0" applyBorder="1"/>
    <xf numFmtId="164" fontId="4" fillId="5" borderId="17" xfId="0" applyNumberFormat="1" applyFont="1" applyFill="1" applyBorder="1"/>
    <xf numFmtId="0" fontId="3" fillId="0" borderId="18" xfId="0" applyFont="1" applyBorder="1"/>
    <xf numFmtId="0" fontId="3" fillId="0" borderId="19" xfId="0" applyFont="1" applyBorder="1"/>
    <xf numFmtId="164" fontId="6" fillId="3" borderId="3" xfId="0" applyNumberFormat="1" applyFont="1" applyFill="1" applyBorder="1" applyAlignment="1">
      <alignment vertical="center"/>
    </xf>
    <xf numFmtId="1" fontId="6" fillId="3" borderId="20" xfId="1" applyNumberFormat="1" applyFont="1" applyFill="1" applyBorder="1" applyAlignment="1">
      <alignment horizontal="right" vertical="center"/>
    </xf>
    <xf numFmtId="164" fontId="6" fillId="3" borderId="21" xfId="1" applyNumberFormat="1" applyFont="1" applyFill="1" applyBorder="1" applyAlignment="1">
      <alignment horizontal="right" vertical="center"/>
    </xf>
    <xf numFmtId="0" fontId="4" fillId="3" borderId="6" xfId="2" applyFont="1" applyFill="1" applyBorder="1" applyAlignment="1">
      <alignment horizontal="right" vertical="center"/>
    </xf>
    <xf numFmtId="0" fontId="4" fillId="3" borderId="3" xfId="2" applyFont="1" applyFill="1" applyBorder="1" applyAlignment="1">
      <alignment horizontal="right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22" xfId="2" applyFont="1" applyFill="1" applyBorder="1" applyAlignment="1">
      <alignment horizontal="right" vertical="center"/>
    </xf>
    <xf numFmtId="0" fontId="4" fillId="3" borderId="23" xfId="2" applyFont="1" applyFill="1" applyBorder="1" applyAlignment="1">
      <alignment horizontal="right" vertical="center"/>
    </xf>
    <xf numFmtId="0" fontId="6" fillId="3" borderId="21" xfId="1" applyFont="1" applyFill="1" applyBorder="1" applyAlignment="1">
      <alignment horizontal="left" vertical="center"/>
    </xf>
    <xf numFmtId="164" fontId="6" fillId="3" borderId="25" xfId="0" applyNumberFormat="1" applyFont="1" applyFill="1" applyBorder="1" applyAlignment="1">
      <alignment vertical="center"/>
    </xf>
    <xf numFmtId="164" fontId="8" fillId="3" borderId="3" xfId="0" applyNumberFormat="1" applyFont="1" applyFill="1" applyBorder="1"/>
    <xf numFmtId="164" fontId="8" fillId="3" borderId="3" xfId="1" applyNumberFormat="1" applyFont="1" applyFill="1" applyBorder="1" applyAlignment="1">
      <alignment vertical="center"/>
    </xf>
    <xf numFmtId="164" fontId="8" fillId="3" borderId="6" xfId="1" applyNumberFormat="1" applyFont="1" applyFill="1" applyBorder="1" applyAlignment="1">
      <alignment vertical="center"/>
    </xf>
    <xf numFmtId="164" fontId="8" fillId="3" borderId="24" xfId="0" applyNumberFormat="1" applyFont="1" applyFill="1" applyBorder="1" applyAlignment="1">
      <alignment vertical="center"/>
    </xf>
    <xf numFmtId="164" fontId="8" fillId="3" borderId="5" xfId="1" applyNumberFormat="1" applyFont="1" applyFill="1" applyBorder="1" applyAlignment="1">
      <alignment vertical="center"/>
    </xf>
    <xf numFmtId="164" fontId="0" fillId="3" borderId="2" xfId="1" applyNumberFormat="1" applyFont="1" applyFill="1" applyBorder="1" applyAlignment="1">
      <alignment horizontal="right" vertical="center"/>
    </xf>
    <xf numFmtId="4" fontId="4" fillId="3" borderId="0" xfId="0" applyNumberFormat="1" applyFont="1" applyFill="1" applyAlignment="1">
      <alignment vertical="center"/>
    </xf>
    <xf numFmtId="165" fontId="4" fillId="3" borderId="0" xfId="0" applyNumberFormat="1" applyFont="1" applyFill="1" applyAlignment="1">
      <alignment vertical="center"/>
    </xf>
    <xf numFmtId="166" fontId="7" fillId="3" borderId="0" xfId="0" applyNumberFormat="1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</cellXfs>
  <cellStyles count="3">
    <cellStyle name="Bueno" xfId="1" builtinId="26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G52"/>
  <sheetViews>
    <sheetView tabSelected="1" zoomScaleNormal="100" workbookViewId="0">
      <selection activeCell="B2" sqref="B2"/>
    </sheetView>
  </sheetViews>
  <sheetFormatPr baseColWidth="10" defaultRowHeight="15" customHeight="1" x14ac:dyDescent="0.25"/>
  <cols>
    <col min="1" max="1" width="2.42578125" style="2" customWidth="1"/>
    <col min="2" max="2" width="50" style="2" bestFit="1" customWidth="1"/>
    <col min="3" max="3" width="13.28515625" style="2" customWidth="1"/>
    <col min="4" max="4" width="14.5703125" style="3" customWidth="1"/>
    <col min="5" max="5" width="16.42578125" style="2" customWidth="1"/>
    <col min="6" max="6" width="18" style="2" customWidth="1"/>
    <col min="7" max="7" width="15.85546875" style="2" customWidth="1"/>
    <col min="8" max="16384" width="11.42578125" style="2"/>
  </cols>
  <sheetData>
    <row r="1" spans="1:7" ht="15" customHeight="1" x14ac:dyDescent="0.25">
      <c r="A1" s="1"/>
      <c r="B1" s="77">
        <f ca="1">TODAY()-1</f>
        <v>46173</v>
      </c>
      <c r="C1" s="77"/>
      <c r="D1" s="77"/>
    </row>
    <row r="3" spans="1:7" ht="15" customHeight="1" x14ac:dyDescent="0.25">
      <c r="A3" s="4"/>
      <c r="B3" s="78" t="s">
        <v>50</v>
      </c>
      <c r="C3" s="78"/>
      <c r="D3" s="78"/>
    </row>
    <row r="4" spans="1:7" ht="19.5" customHeight="1" thickBot="1" x14ac:dyDescent="0.4">
      <c r="A4" s="4"/>
      <c r="B4" s="64"/>
      <c r="C4" s="64"/>
      <c r="D4" s="5">
        <f>D24</f>
        <v>5002.7320000000009</v>
      </c>
    </row>
    <row r="5" spans="1:7" ht="15" customHeight="1" x14ac:dyDescent="0.25">
      <c r="A5" s="4"/>
      <c r="B5" s="18" t="s">
        <v>20</v>
      </c>
      <c r="C5" s="65">
        <v>1670</v>
      </c>
      <c r="D5" s="62">
        <v>71.400000000000006</v>
      </c>
      <c r="E5" s="75"/>
      <c r="F5" s="75"/>
      <c r="G5" s="75"/>
    </row>
    <row r="6" spans="1:7" ht="15" customHeight="1" x14ac:dyDescent="0.25">
      <c r="A6" s="4"/>
      <c r="B6" s="20" t="s">
        <v>24</v>
      </c>
      <c r="C6" s="66">
        <v>12737</v>
      </c>
      <c r="D6" s="63">
        <v>543.82000000000005</v>
      </c>
      <c r="E6" s="75"/>
      <c r="F6" s="75"/>
      <c r="G6" s="75"/>
    </row>
    <row r="7" spans="1:7" ht="15" customHeight="1" x14ac:dyDescent="0.25">
      <c r="A7" s="4"/>
      <c r="B7" s="20" t="s">
        <v>49</v>
      </c>
      <c r="C7" s="66">
        <v>21015</v>
      </c>
      <c r="D7" s="63">
        <v>897.452</v>
      </c>
      <c r="E7" s="75"/>
      <c r="F7" s="75"/>
      <c r="G7" s="75"/>
    </row>
    <row r="8" spans="1:7" ht="15" customHeight="1" x14ac:dyDescent="0.25">
      <c r="A8" s="4"/>
      <c r="B8" s="20" t="s">
        <v>18</v>
      </c>
      <c r="C8" s="66"/>
      <c r="D8" s="63"/>
      <c r="E8" s="75"/>
      <c r="F8" s="75"/>
      <c r="G8" s="75"/>
    </row>
    <row r="9" spans="1:7" ht="15" customHeight="1" x14ac:dyDescent="0.25">
      <c r="A9" s="4"/>
      <c r="B9" s="20" t="s">
        <v>51</v>
      </c>
      <c r="C9" s="66">
        <v>11690</v>
      </c>
      <c r="D9" s="63">
        <v>499.08</v>
      </c>
      <c r="E9" s="75"/>
      <c r="F9" s="75"/>
      <c r="G9" s="75"/>
    </row>
    <row r="10" spans="1:7" ht="15" customHeight="1" x14ac:dyDescent="0.25">
      <c r="A10" s="4"/>
      <c r="B10" s="20" t="s">
        <v>52</v>
      </c>
      <c r="C10" s="66">
        <v>23418</v>
      </c>
      <c r="D10" s="63">
        <v>999.39800000000002</v>
      </c>
      <c r="E10" s="75"/>
      <c r="F10" s="75"/>
      <c r="G10" s="75"/>
    </row>
    <row r="11" spans="1:7" ht="15" customHeight="1" x14ac:dyDescent="0.25">
      <c r="A11" s="4"/>
      <c r="B11" s="20" t="s">
        <v>54</v>
      </c>
      <c r="C11" s="66">
        <v>7125</v>
      </c>
      <c r="D11" s="63">
        <v>304.32400000000001</v>
      </c>
      <c r="E11" s="75"/>
      <c r="F11" s="75"/>
      <c r="G11" s="75"/>
    </row>
    <row r="12" spans="1:7" ht="15" customHeight="1" x14ac:dyDescent="0.25">
      <c r="A12" s="4"/>
      <c r="B12" s="20" t="s">
        <v>63</v>
      </c>
      <c r="C12" s="66">
        <v>13429</v>
      </c>
      <c r="D12" s="63">
        <v>339.298</v>
      </c>
      <c r="E12" s="75"/>
      <c r="F12" s="75"/>
      <c r="G12" s="75"/>
    </row>
    <row r="13" spans="1:7" ht="15" customHeight="1" x14ac:dyDescent="0.25">
      <c r="A13" s="4"/>
      <c r="B13" s="20" t="s">
        <v>57</v>
      </c>
      <c r="C13" s="66">
        <v>2830</v>
      </c>
      <c r="D13" s="63">
        <v>71.28</v>
      </c>
      <c r="E13" s="75"/>
      <c r="F13" s="75"/>
      <c r="G13" s="75"/>
    </row>
    <row r="14" spans="1:7" ht="15" customHeight="1" x14ac:dyDescent="0.25">
      <c r="A14" s="4"/>
      <c r="B14" s="20" t="s">
        <v>60</v>
      </c>
      <c r="C14" s="66">
        <v>81</v>
      </c>
      <c r="D14" s="63">
        <v>122.23</v>
      </c>
      <c r="E14" s="75"/>
      <c r="F14" s="75"/>
      <c r="G14" s="75"/>
    </row>
    <row r="15" spans="1:7" ht="15" customHeight="1" x14ac:dyDescent="0.25">
      <c r="A15" s="4"/>
      <c r="B15" s="20" t="s">
        <v>61</v>
      </c>
      <c r="C15" s="66">
        <v>141</v>
      </c>
      <c r="D15" s="63">
        <v>212.84</v>
      </c>
      <c r="E15" s="75"/>
      <c r="F15" s="75"/>
      <c r="G15" s="75"/>
    </row>
    <row r="16" spans="1:7" ht="15" customHeight="1" x14ac:dyDescent="0.25">
      <c r="A16" s="4"/>
      <c r="B16" s="20" t="s">
        <v>59</v>
      </c>
      <c r="C16" s="66"/>
      <c r="D16" s="63"/>
      <c r="E16" s="75"/>
      <c r="F16" s="75"/>
      <c r="G16" s="75"/>
    </row>
    <row r="17" spans="1:7" ht="15" customHeight="1" x14ac:dyDescent="0.25">
      <c r="A17" s="4"/>
      <c r="B17" s="20" t="s">
        <v>58</v>
      </c>
      <c r="C17" s="66"/>
      <c r="D17" s="63"/>
      <c r="E17" s="75"/>
      <c r="F17" s="75"/>
      <c r="G17" s="75"/>
    </row>
    <row r="18" spans="1:7" ht="15" customHeight="1" x14ac:dyDescent="0.25">
      <c r="A18" s="4"/>
      <c r="B18" s="20" t="s">
        <v>55</v>
      </c>
      <c r="C18" s="66">
        <v>103</v>
      </c>
      <c r="D18" s="63">
        <v>154.91</v>
      </c>
      <c r="E18" s="75"/>
      <c r="F18" s="75"/>
      <c r="G18" s="75"/>
    </row>
    <row r="19" spans="1:7" ht="15" customHeight="1" x14ac:dyDescent="0.25">
      <c r="A19" s="4"/>
      <c r="B19" s="20" t="s">
        <v>64</v>
      </c>
      <c r="C19" s="66">
        <v>200</v>
      </c>
      <c r="D19" s="63">
        <v>301.23</v>
      </c>
      <c r="E19" s="75"/>
      <c r="F19" s="75"/>
      <c r="G19" s="75"/>
    </row>
    <row r="20" spans="1:7" ht="15" customHeight="1" x14ac:dyDescent="0.25">
      <c r="A20" s="4"/>
      <c r="B20" s="20" t="s">
        <v>53</v>
      </c>
      <c r="C20" s="66"/>
      <c r="D20" s="63">
        <v>362.17</v>
      </c>
      <c r="E20" s="75"/>
      <c r="F20" s="75"/>
      <c r="G20" s="75"/>
    </row>
    <row r="21" spans="1:7" ht="15" customHeight="1" x14ac:dyDescent="0.25">
      <c r="A21" s="4"/>
      <c r="B21" s="20" t="s">
        <v>62</v>
      </c>
      <c r="C21" s="66"/>
      <c r="D21" s="63">
        <v>29.68</v>
      </c>
      <c r="E21" s="75"/>
      <c r="F21" s="75"/>
      <c r="G21" s="75"/>
    </row>
    <row r="22" spans="1:7" ht="15" customHeight="1" x14ac:dyDescent="0.25">
      <c r="A22" s="4"/>
      <c r="B22" s="20" t="s">
        <v>23</v>
      </c>
      <c r="C22" s="66"/>
      <c r="D22" s="63"/>
      <c r="E22" s="75"/>
      <c r="F22" s="75"/>
      <c r="G22" s="75"/>
    </row>
    <row r="23" spans="1:7" ht="15" customHeight="1" thickBot="1" x14ac:dyDescent="0.3">
      <c r="A23" s="4"/>
      <c r="B23" s="20" t="s">
        <v>56</v>
      </c>
      <c r="C23" s="66"/>
      <c r="D23" s="63">
        <v>93.62</v>
      </c>
      <c r="E23" s="76"/>
      <c r="F23" s="75"/>
      <c r="G23" s="75"/>
    </row>
    <row r="24" spans="1:7" ht="15" customHeight="1" thickBot="1" x14ac:dyDescent="0.3">
      <c r="A24" s="4"/>
      <c r="B24" s="67" t="s">
        <v>0</v>
      </c>
      <c r="C24" s="60"/>
      <c r="D24" s="61">
        <f>SUM(D5:D23)</f>
        <v>5002.7320000000009</v>
      </c>
      <c r="E24" s="76"/>
      <c r="F24" s="75"/>
      <c r="G24" s="75"/>
    </row>
    <row r="25" spans="1:7" ht="15" customHeight="1" x14ac:dyDescent="0.25">
      <c r="A25" s="4"/>
      <c r="B25" s="6" t="s">
        <v>1</v>
      </c>
      <c r="C25" s="7"/>
      <c r="D25" s="68">
        <v>249313.514</v>
      </c>
      <c r="E25" s="3"/>
      <c r="F25" s="3"/>
      <c r="G25" s="75"/>
    </row>
    <row r="26" spans="1:7" ht="15" customHeight="1" x14ac:dyDescent="0.25">
      <c r="A26" s="4"/>
      <c r="B26" s="8" t="s">
        <v>2</v>
      </c>
      <c r="C26" s="9"/>
      <c r="D26" s="59">
        <v>20607.553</v>
      </c>
      <c r="E26" s="75"/>
      <c r="F26" s="75"/>
      <c r="G26" s="75"/>
    </row>
    <row r="27" spans="1:7" ht="15" customHeight="1" x14ac:dyDescent="0.25">
      <c r="B27" s="8" t="s">
        <v>3</v>
      </c>
      <c r="C27" s="74"/>
      <c r="D27" s="10">
        <f>IF(SUM(C5:D11)=0,"",SUM(D5:D11)/SUM(C5:C11)*1000)</f>
        <v>42.694919837743875</v>
      </c>
      <c r="E27" s="76"/>
      <c r="F27" s="75"/>
      <c r="G27" s="75"/>
    </row>
    <row r="28" spans="1:7" ht="15" customHeight="1" x14ac:dyDescent="0.25">
      <c r="B28" s="8" t="s">
        <v>11</v>
      </c>
      <c r="C28" s="9"/>
      <c r="D28" s="11">
        <f>SUM(C5:C11)</f>
        <v>77655</v>
      </c>
      <c r="E28" s="76"/>
      <c r="F28" s="75"/>
      <c r="G28" s="75"/>
    </row>
    <row r="29" spans="1:7" ht="15" customHeight="1" thickBot="1" x14ac:dyDescent="0.3">
      <c r="B29" s="12" t="s">
        <v>10</v>
      </c>
      <c r="C29" s="13"/>
      <c r="D29" s="14">
        <f>SUM(D14:D23)</f>
        <v>1276.6800000000003</v>
      </c>
      <c r="E29" s="75"/>
      <c r="F29" s="75"/>
      <c r="G29" s="75"/>
    </row>
    <row r="30" spans="1:7" ht="15" customHeight="1" thickBot="1" x14ac:dyDescent="0.3">
      <c r="B30" s="15" t="s">
        <v>6</v>
      </c>
      <c r="C30" s="16"/>
      <c r="D30" s="17"/>
      <c r="E30" s="75"/>
      <c r="F30" s="75"/>
      <c r="G30" s="75"/>
    </row>
    <row r="31" spans="1:7" ht="15" customHeight="1" x14ac:dyDescent="0.25">
      <c r="B31" s="18" t="s">
        <v>14</v>
      </c>
      <c r="C31" s="19"/>
      <c r="D31" s="71">
        <v>862.36300000000006</v>
      </c>
      <c r="E31" s="76"/>
      <c r="F31" s="75"/>
      <c r="G31" s="3"/>
    </row>
    <row r="32" spans="1:7" ht="15" customHeight="1" x14ac:dyDescent="0.25">
      <c r="B32" s="20" t="s">
        <v>7</v>
      </c>
      <c r="C32" s="21"/>
      <c r="D32" s="69">
        <v>0</v>
      </c>
      <c r="E32" s="75"/>
      <c r="F32" s="75"/>
      <c r="G32" s="3"/>
    </row>
    <row r="33" spans="2:7" ht="15" customHeight="1" x14ac:dyDescent="0.25">
      <c r="B33" s="20" t="s">
        <v>15</v>
      </c>
      <c r="C33" s="21"/>
      <c r="D33" s="70">
        <f>D31+D32</f>
        <v>862.36300000000006</v>
      </c>
      <c r="E33" s="75"/>
      <c r="F33" s="75"/>
      <c r="G33" s="75"/>
    </row>
    <row r="34" spans="2:7" ht="15" customHeight="1" x14ac:dyDescent="0.25">
      <c r="B34" s="20" t="s">
        <v>13</v>
      </c>
      <c r="C34" s="22"/>
      <c r="D34" s="70">
        <v>46900.947</v>
      </c>
      <c r="E34" s="76"/>
      <c r="F34" s="75"/>
      <c r="G34" s="75"/>
    </row>
    <row r="35" spans="2:7" ht="15" customHeight="1" x14ac:dyDescent="0.25">
      <c r="B35" s="20" t="s">
        <v>8</v>
      </c>
      <c r="C35" s="23"/>
      <c r="D35" s="69">
        <v>18520.55</v>
      </c>
      <c r="E35" s="75"/>
      <c r="G35" s="75"/>
    </row>
    <row r="36" spans="2:7" ht="15" customHeight="1" x14ac:dyDescent="0.25">
      <c r="B36" s="20" t="s">
        <v>2</v>
      </c>
      <c r="C36" s="21"/>
      <c r="D36" s="72">
        <v>6246.58</v>
      </c>
      <c r="E36" s="76"/>
      <c r="F36" s="75"/>
      <c r="G36" s="75"/>
    </row>
    <row r="37" spans="2:7" ht="15" customHeight="1" x14ac:dyDescent="0.25">
      <c r="B37" s="20" t="s">
        <v>4</v>
      </c>
      <c r="C37" s="21"/>
      <c r="D37" s="70">
        <v>588.83799999999997</v>
      </c>
      <c r="E37" s="75"/>
    </row>
    <row r="38" spans="2:7" ht="15" customHeight="1" x14ac:dyDescent="0.25">
      <c r="B38" s="20" t="s">
        <v>5</v>
      </c>
      <c r="C38" s="21"/>
      <c r="D38" s="70">
        <v>99527.073000000004</v>
      </c>
      <c r="E38" s="3"/>
    </row>
    <row r="39" spans="2:7" ht="15" customHeight="1" x14ac:dyDescent="0.25">
      <c r="B39" s="20" t="s">
        <v>9</v>
      </c>
      <c r="C39" s="21"/>
      <c r="D39" s="70">
        <f>+D34+D38</f>
        <v>146428.02000000002</v>
      </c>
    </row>
    <row r="40" spans="2:7" ht="15" customHeight="1" thickBot="1" x14ac:dyDescent="0.3">
      <c r="B40" s="24" t="s">
        <v>12</v>
      </c>
      <c r="C40" s="25"/>
      <c r="D40" s="73">
        <f>+D34+D35+D38</f>
        <v>164948.57</v>
      </c>
    </row>
    <row r="48" spans="2:7" ht="15" customHeight="1" x14ac:dyDescent="0.25">
      <c r="E48" s="3"/>
    </row>
    <row r="50" spans="5:5" ht="15" customHeight="1" x14ac:dyDescent="0.25">
      <c r="E50" s="3"/>
    </row>
    <row r="51" spans="5:5" ht="15" customHeight="1" x14ac:dyDescent="0.25">
      <c r="E51" s="3"/>
    </row>
    <row r="52" spans="5:5" ht="15" customHeight="1" x14ac:dyDescent="0.25">
      <c r="E52" s="3"/>
    </row>
  </sheetData>
  <mergeCells count="2">
    <mergeCell ref="B1:D1"/>
    <mergeCell ref="B3:D3"/>
  </mergeCells>
  <pageMargins left="0" right="0" top="0.74803149606299213" bottom="0" header="0.31496062992125984" footer="0.31496062992125984"/>
  <pageSetup paperSize="9" orientation="portrait" r:id="rId1"/>
  <ignoredErrors>
    <ignoredError sqref="D27:D29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F25"/>
  <sheetViews>
    <sheetView workbookViewId="0">
      <selection activeCell="C2" sqref="C2"/>
    </sheetView>
  </sheetViews>
  <sheetFormatPr baseColWidth="10" defaultRowHeight="15" x14ac:dyDescent="0.25"/>
  <cols>
    <col min="1" max="1" width="55.42578125" customWidth="1"/>
  </cols>
  <sheetData>
    <row r="1" spans="1:6" ht="15.75" thickBot="1" x14ac:dyDescent="0.3">
      <c r="A1" t="s">
        <v>34</v>
      </c>
      <c r="B1" t="s">
        <v>35</v>
      </c>
      <c r="C1" t="s">
        <v>36</v>
      </c>
    </row>
    <row r="2" spans="1:6" ht="16.5" thickBot="1" x14ac:dyDescent="0.3">
      <c r="A2" s="34" t="s">
        <v>22</v>
      </c>
      <c r="B2" s="27">
        <v>6000</v>
      </c>
      <c r="C2" s="37">
        <v>255.69200000000006</v>
      </c>
      <c r="E2" s="57" t="s">
        <v>34</v>
      </c>
      <c r="F2" s="58" t="s">
        <v>36</v>
      </c>
    </row>
    <row r="3" spans="1:6" ht="15.75" x14ac:dyDescent="0.25">
      <c r="A3" s="31" t="s">
        <v>20</v>
      </c>
      <c r="B3" s="28">
        <v>9460</v>
      </c>
      <c r="C3" s="35">
        <v>402.81200000000001</v>
      </c>
      <c r="E3" s="55" t="s">
        <v>37</v>
      </c>
      <c r="F3" s="56">
        <f>C4+C7+C8+C9+C10+C3+C23+C16</f>
        <v>3138.26</v>
      </c>
    </row>
    <row r="4" spans="1:6" ht="15.75" x14ac:dyDescent="0.25">
      <c r="A4" s="31" t="s">
        <v>31</v>
      </c>
      <c r="B4" s="28">
        <v>0</v>
      </c>
      <c r="C4" s="36">
        <v>0</v>
      </c>
      <c r="E4" s="47" t="s">
        <v>38</v>
      </c>
      <c r="F4" s="48">
        <f>+C2+C20+C25</f>
        <v>496.81200000000007</v>
      </c>
    </row>
    <row r="5" spans="1:6" ht="15.75" x14ac:dyDescent="0.25">
      <c r="A5" s="31" t="s">
        <v>17</v>
      </c>
      <c r="B5" s="28">
        <v>17770</v>
      </c>
      <c r="C5" s="44">
        <v>758.11199999999997</v>
      </c>
      <c r="E5" s="47" t="s">
        <v>39</v>
      </c>
      <c r="F5" s="49">
        <f>+C11+C24</f>
        <v>913.52600000000007</v>
      </c>
    </row>
    <row r="6" spans="1:6" ht="15.75" x14ac:dyDescent="0.25">
      <c r="A6" s="31" t="s">
        <v>32</v>
      </c>
      <c r="B6" s="28">
        <v>750</v>
      </c>
      <c r="C6" s="40">
        <v>31.92</v>
      </c>
      <c r="E6" s="47" t="s">
        <v>40</v>
      </c>
      <c r="F6" s="50">
        <f>+C12+C22+C19</f>
        <v>596.20200000000011</v>
      </c>
    </row>
    <row r="7" spans="1:6" ht="15.75" x14ac:dyDescent="0.25">
      <c r="A7" s="31" t="s">
        <v>24</v>
      </c>
      <c r="B7" s="28">
        <v>6780</v>
      </c>
      <c r="C7" s="35">
        <v>288.81599999999997</v>
      </c>
      <c r="E7" s="51" t="s">
        <v>41</v>
      </c>
      <c r="F7" s="44">
        <f>+C5+C14+C21</f>
        <v>758.11199999999997</v>
      </c>
    </row>
    <row r="8" spans="1:6" ht="15.75" x14ac:dyDescent="0.25">
      <c r="A8" s="31" t="s">
        <v>21</v>
      </c>
      <c r="B8" s="28">
        <v>3640</v>
      </c>
      <c r="C8" s="36">
        <v>154.99799999999999</v>
      </c>
      <c r="E8" s="51" t="s">
        <v>42</v>
      </c>
      <c r="F8" s="52">
        <f>+C6+C13</f>
        <v>31.92</v>
      </c>
    </row>
    <row r="9" spans="1:6" ht="16.5" thickBot="1" x14ac:dyDescent="0.3">
      <c r="A9" s="31" t="s">
        <v>19</v>
      </c>
      <c r="B9" s="28">
        <v>6060</v>
      </c>
      <c r="C9" s="35">
        <v>258.45</v>
      </c>
      <c r="E9" s="53" t="s">
        <v>46</v>
      </c>
      <c r="F9" s="54">
        <f>C15</f>
        <v>65.572000000000003</v>
      </c>
    </row>
    <row r="10" spans="1:6" ht="15.75" x14ac:dyDescent="0.25">
      <c r="A10" s="33" t="s">
        <v>16</v>
      </c>
      <c r="B10" s="28">
        <v>38590</v>
      </c>
      <c r="C10" s="35">
        <v>1643.7940000000001</v>
      </c>
    </row>
    <row r="11" spans="1:6" ht="15.75" x14ac:dyDescent="0.25">
      <c r="A11" s="31" t="s">
        <v>33</v>
      </c>
      <c r="B11" s="28">
        <v>18630</v>
      </c>
      <c r="C11" s="41">
        <v>794.16600000000005</v>
      </c>
      <c r="E11" t="s">
        <v>47</v>
      </c>
      <c r="F11" s="45">
        <f>SUM(F3:F10)</f>
        <v>6000.4040000000005</v>
      </c>
    </row>
    <row r="12" spans="1:6" ht="15.75" x14ac:dyDescent="0.25">
      <c r="A12" s="31" t="s">
        <v>18</v>
      </c>
      <c r="B12" s="28">
        <v>11170</v>
      </c>
      <c r="C12" s="39">
        <v>476.08200000000005</v>
      </c>
    </row>
    <row r="13" spans="1:6" ht="15.75" x14ac:dyDescent="0.25">
      <c r="A13" s="31" t="s">
        <v>30</v>
      </c>
      <c r="B13" s="28">
        <v>0</v>
      </c>
      <c r="C13" s="40">
        <v>0</v>
      </c>
    </row>
    <row r="14" spans="1:6" ht="15.75" x14ac:dyDescent="0.25">
      <c r="A14" s="31" t="s">
        <v>28</v>
      </c>
      <c r="B14" s="28">
        <v>0</v>
      </c>
      <c r="C14" s="44">
        <v>0</v>
      </c>
    </row>
    <row r="15" spans="1:6" ht="15.75" x14ac:dyDescent="0.25">
      <c r="A15" s="31" t="s">
        <v>43</v>
      </c>
      <c r="B15" s="28">
        <v>1540</v>
      </c>
      <c r="C15" s="46">
        <v>65.572000000000003</v>
      </c>
    </row>
    <row r="16" spans="1:6" ht="15.75" x14ac:dyDescent="0.25">
      <c r="A16" s="32" t="s">
        <v>48</v>
      </c>
      <c r="B16" s="28">
        <v>1152</v>
      </c>
      <c r="C16" s="56">
        <v>29.05</v>
      </c>
    </row>
    <row r="17" spans="1:3" ht="15.75" x14ac:dyDescent="0.25">
      <c r="A17" s="31" t="s">
        <v>29</v>
      </c>
      <c r="B17" s="28"/>
      <c r="C17" s="26"/>
    </row>
    <row r="18" spans="1:3" ht="15.75" x14ac:dyDescent="0.25">
      <c r="A18" s="31" t="s">
        <v>23</v>
      </c>
      <c r="B18" s="28"/>
      <c r="C18" s="26"/>
    </row>
    <row r="19" spans="1:3" ht="15.75" x14ac:dyDescent="0.25">
      <c r="A19" s="32" t="s">
        <v>25</v>
      </c>
      <c r="B19" s="29">
        <v>20</v>
      </c>
      <c r="C19" s="39">
        <v>30.11</v>
      </c>
    </row>
    <row r="20" spans="1:3" ht="15.75" x14ac:dyDescent="0.25">
      <c r="A20" s="32" t="s">
        <v>27</v>
      </c>
      <c r="B20" s="29">
        <v>100</v>
      </c>
      <c r="C20" s="38">
        <v>150.69</v>
      </c>
    </row>
    <row r="21" spans="1:3" ht="15.75" x14ac:dyDescent="0.25">
      <c r="A21" s="31" t="s">
        <v>44</v>
      </c>
      <c r="B21" s="28">
        <v>0</v>
      </c>
      <c r="C21" s="44">
        <v>0</v>
      </c>
    </row>
    <row r="22" spans="1:3" ht="15.75" x14ac:dyDescent="0.25">
      <c r="A22" s="31" t="s">
        <v>29</v>
      </c>
      <c r="B22" s="28">
        <v>90.01</v>
      </c>
      <c r="C22" s="39">
        <v>90.01</v>
      </c>
    </row>
    <row r="23" spans="1:3" ht="15.75" x14ac:dyDescent="0.25">
      <c r="A23" s="31" t="s">
        <v>23</v>
      </c>
      <c r="B23" s="28">
        <v>360.34</v>
      </c>
      <c r="C23" s="35">
        <v>360.34</v>
      </c>
    </row>
    <row r="24" spans="1:3" ht="15.75" x14ac:dyDescent="0.25">
      <c r="A24" s="31" t="s">
        <v>26</v>
      </c>
      <c r="B24" s="28">
        <v>119.36</v>
      </c>
      <c r="C24" s="42">
        <v>119.36</v>
      </c>
    </row>
    <row r="25" spans="1:3" ht="16.5" thickBot="1" x14ac:dyDescent="0.3">
      <c r="A25" s="31" t="s">
        <v>45</v>
      </c>
      <c r="B25" s="30">
        <v>90.43</v>
      </c>
      <c r="C25" s="43">
        <v>90.43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Despacho</vt:lpstr>
      <vt:lpstr>DESPACHO POR MATERIAL</vt:lpstr>
    </vt:vector>
  </TitlesOfParts>
  <Company>GRUPO GLORIA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Yura Ensacadora</dc:creator>
  <cp:lastModifiedBy>Tablerista Ensacado y despacho (Yura S.A.)</cp:lastModifiedBy>
  <cp:lastPrinted>2026-05-10T08:51:00Z</cp:lastPrinted>
  <dcterms:created xsi:type="dcterms:W3CDTF">2009-12-31T13:39:08Z</dcterms:created>
  <dcterms:modified xsi:type="dcterms:W3CDTF">2026-06-01T09:53:01Z</dcterms:modified>
</cp:coreProperties>
</file>